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Students" sheetId="1" state="visible" r:id="rId1"/>
    <sheet name="Summary" sheetId="2" state="visible" r:id="rId2"/>
  </sheets>
  <definedNames>
    <definedName name="_xlnm._FilterDatabase" localSheetId="0" hidden="1">'Students'!$A$1:$I$16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1"/>
    </font>
    <font>
      <b val="1"/>
      <color rgb="00FFFFFF"/>
      <sz val="14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0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/>
  </cellStyles>
  <dxfs count="2"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IN"/>
              <a:t>Student Marks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Students!$D$1</f>
              <strCache>
                <ptCount val="1"/>
              </strCache>
            </strRef>
          </tx>
          <spPr>
            <a:ln>
              <a:prstDash val="solid"/>
            </a:ln>
          </spPr>
          <invertIfNegative val="1"/>
          <cat>
            <strRef>
              <f>Students!$A$2:$A$16</f>
              <strCache>
                <ptCount val="14"/>
                <pt idx="0">
                  <v>Nikhitha</v>
                </pt>
                <pt idx="1">
                  <v>Rahul</v>
                </pt>
                <pt idx="2">
                  <v>Priya</v>
                </pt>
                <pt idx="3">
                  <v>Kiran</v>
                </pt>
                <pt idx="4">
                  <v>Anu</v>
                </pt>
                <pt idx="5">
                  <v>Ravi</v>
                </pt>
                <pt idx="6">
                  <v>Ravi</v>
                </pt>
                <pt idx="7">
                  <v>Sita</v>
                </pt>
                <pt idx="8">
                  <v>Arjun</v>
                </pt>
                <pt idx="9">
                  <v>Meena</v>
                </pt>
                <pt idx="10">
                  <v>Ravi</v>
                </pt>
                <pt idx="11">
                  <v>Sita</v>
                </pt>
                <pt idx="12">
                  <v>Arjun</v>
                </pt>
                <pt idx="13">
                  <v>Meena</v>
                </pt>
              </strCache>
            </strRef>
          </cat>
          <val>
            <numRef>
              <f>Students!$D$2:$D$16</f>
              <numCache>
                <formatCode>General</formatCode>
                <ptCount val="1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Students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Marks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IN"/>
              <a:t>Student Marks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Students!$D$1</f>
              <strCache>
                <ptCount val="1"/>
              </strCache>
            </strRef>
          </tx>
          <spPr>
            <a:ln>
              <a:prstDash val="solid"/>
            </a:ln>
          </spPr>
          <invertIfNegative val="1"/>
          <cat>
            <strRef>
              <f>Students!$A$2:$A$16</f>
              <strCache>
                <ptCount val="14"/>
                <pt idx="0">
                  <v>Nikhitha</v>
                </pt>
                <pt idx="1">
                  <v>Rahul</v>
                </pt>
                <pt idx="2">
                  <v>Priya</v>
                </pt>
                <pt idx="3">
                  <v>Kiran</v>
                </pt>
                <pt idx="4">
                  <v>Anu</v>
                </pt>
                <pt idx="5">
                  <v>Ravi</v>
                </pt>
                <pt idx="6">
                  <v>Ravi</v>
                </pt>
                <pt idx="7">
                  <v>Sita</v>
                </pt>
                <pt idx="8">
                  <v>Arjun</v>
                </pt>
                <pt idx="9">
                  <v>Meena</v>
                </pt>
                <pt idx="10">
                  <v>Ravi</v>
                </pt>
                <pt idx="11">
                  <v>Sita</v>
                </pt>
                <pt idx="12">
                  <v>Arjun</v>
                </pt>
                <pt idx="13">
                  <v>Meena</v>
                </pt>
              </strCache>
            </strRef>
          </cat>
          <val>
            <numRef>
              <f>Students!$D$2:$D$16</f>
              <numCache>
                <formatCode>General</formatCode>
                <ptCount val="1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Students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Marks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IN"/>
              <a:t>Student Marks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Students!$D$1</f>
              <strCache>
                <ptCount val="1"/>
              </strCache>
            </strRef>
          </tx>
          <spPr>
            <a:ln>
              <a:prstDash val="solid"/>
            </a:ln>
          </spPr>
          <invertIfNegative val="1"/>
          <cat>
            <strRef>
              <f>Students!$A$2:$A$16</f>
              <strCache>
                <ptCount val="14"/>
                <pt idx="0">
                  <v>Nikhitha</v>
                </pt>
                <pt idx="1">
                  <v>Rahul</v>
                </pt>
                <pt idx="2">
                  <v>Priya</v>
                </pt>
                <pt idx="3">
                  <v>Kiran</v>
                </pt>
                <pt idx="4">
                  <v>Anu</v>
                </pt>
                <pt idx="5">
                  <v>Ravi</v>
                </pt>
                <pt idx="6">
                  <v>Ravi</v>
                </pt>
                <pt idx="7">
                  <v>Sita</v>
                </pt>
                <pt idx="8">
                  <v>Arjun</v>
                </pt>
                <pt idx="9">
                  <v>Meena</v>
                </pt>
                <pt idx="10">
                  <v>Ravi</v>
                </pt>
                <pt idx="11">
                  <v>Sita</v>
                </pt>
                <pt idx="12">
                  <v>Arjun</v>
                </pt>
                <pt idx="13">
                  <v>Meena</v>
                </pt>
              </strCache>
            </strRef>
          </cat>
          <val>
            <numRef>
              <f>Students!$D$2:$D$16</f>
              <numCache>
                <formatCode>General</formatCode>
                <ptCount val="1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Students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Marks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IN"/>
              <a:t>Student Marks - Line Chart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Students!$D$1</f>
              <strCache>
                <ptCount val="1"/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Students!$A$2:$A$16</f>
              <strCache>
                <ptCount val="14"/>
                <pt idx="0">
                  <v>Nikhitha</v>
                </pt>
                <pt idx="1">
                  <v>Rahul</v>
                </pt>
                <pt idx="2">
                  <v>Priya</v>
                </pt>
                <pt idx="3">
                  <v>Kiran</v>
                </pt>
                <pt idx="4">
                  <v>Anu</v>
                </pt>
                <pt idx="5">
                  <v>Ravi</v>
                </pt>
                <pt idx="6">
                  <v>Ravi</v>
                </pt>
                <pt idx="7">
                  <v>Sita</v>
                </pt>
                <pt idx="8">
                  <v>Arjun</v>
                </pt>
                <pt idx="9">
                  <v>Meena</v>
                </pt>
                <pt idx="10">
                  <v>Ravi</v>
                </pt>
                <pt idx="11">
                  <v>Sita</v>
                </pt>
                <pt idx="12">
                  <v>Arjun</v>
                </pt>
                <pt idx="13">
                  <v>Meena</v>
                </pt>
              </strCache>
            </strRef>
          </cat>
          <val>
            <numRef>
              <f>Students!$D$2:$D$16</f>
              <numCache>
                <formatCode>General</formatCode>
                <ptCount val="15"/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Students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Marks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IN"/>
              <a:t>Student Marks - Line Chart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Students!$D$1</f>
              <strCache>
                <ptCount val="1"/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Students!$A$2:$A$16</f>
              <strCache>
                <ptCount val="14"/>
                <pt idx="0">
                  <v>Nikhitha</v>
                </pt>
                <pt idx="1">
                  <v>Rahul</v>
                </pt>
                <pt idx="2">
                  <v>Priya</v>
                </pt>
                <pt idx="3">
                  <v>Kiran</v>
                </pt>
                <pt idx="4">
                  <v>Anu</v>
                </pt>
                <pt idx="5">
                  <v>Ravi</v>
                </pt>
                <pt idx="6">
                  <v>Ravi</v>
                </pt>
                <pt idx="7">
                  <v>Sita</v>
                </pt>
                <pt idx="8">
                  <v>Arjun</v>
                </pt>
                <pt idx="9">
                  <v>Meena</v>
                </pt>
                <pt idx="10">
                  <v>Ravi</v>
                </pt>
                <pt idx="11">
                  <v>Sita</v>
                </pt>
                <pt idx="12">
                  <v>Arjun</v>
                </pt>
                <pt idx="13">
                  <v>Meena</v>
                </pt>
              </strCache>
            </strRef>
          </cat>
          <val>
            <numRef>
              <f>Students!$D$2:$D$16</f>
              <numCache>
                <formatCode>General</formatCode>
                <ptCount val="15"/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Students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Marks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IN"/>
              <a:t>Student Marks - Pie Chart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Students!$D$1</f>
              <strCache>
                <ptCount val="1"/>
              </strCache>
            </strRef>
          </tx>
          <spPr>
            <a:ln>
              <a:prstDash val="solid"/>
            </a:ln>
          </spPr>
          <cat>
            <strRef>
              <f>Students!$A$2:$A$16</f>
              <strCache>
                <ptCount val="14"/>
                <pt idx="0">
                  <v>Nikhitha</v>
                </pt>
                <pt idx="1">
                  <v>Rahul</v>
                </pt>
                <pt idx="2">
                  <v>Priya</v>
                </pt>
                <pt idx="3">
                  <v>Kiran</v>
                </pt>
                <pt idx="4">
                  <v>Anu</v>
                </pt>
                <pt idx="5">
                  <v>Ravi</v>
                </pt>
                <pt idx="6">
                  <v>Ravi</v>
                </pt>
                <pt idx="7">
                  <v>Sita</v>
                </pt>
                <pt idx="8">
                  <v>Arjun</v>
                </pt>
                <pt idx="9">
                  <v>Meena</v>
                </pt>
                <pt idx="10">
                  <v>Ravi</v>
                </pt>
                <pt idx="11">
                  <v>Sita</v>
                </pt>
                <pt idx="12">
                  <v>Arjun</v>
                </pt>
                <pt idx="13">
                  <v>Meena</v>
                </pt>
              </strCache>
            </strRef>
          </cat>
          <val>
            <numRef>
              <f>Students!$D$2:$D$16</f>
              <numCache>
                <formatCode>General</formatCode>
                <ptCount val="1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IN"/>
              <a:t>Student Marks - Pie Chart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Students!$D$1</f>
              <strCache>
                <ptCount val="1"/>
              </strCache>
            </strRef>
          </tx>
          <spPr>
            <a:ln>
              <a:prstDash val="solid"/>
            </a:ln>
          </spPr>
          <cat>
            <strRef>
              <f>Students!$A$2:$A$16</f>
              <strCache>
                <ptCount val="14"/>
                <pt idx="0">
                  <v>Nikhitha</v>
                </pt>
                <pt idx="1">
                  <v>Rahul</v>
                </pt>
                <pt idx="2">
                  <v>Priya</v>
                </pt>
                <pt idx="3">
                  <v>Kiran</v>
                </pt>
                <pt idx="4">
                  <v>Anu</v>
                </pt>
                <pt idx="5">
                  <v>Ravi</v>
                </pt>
                <pt idx="6">
                  <v>Ravi</v>
                </pt>
                <pt idx="7">
                  <v>Sita</v>
                </pt>
                <pt idx="8">
                  <v>Arjun</v>
                </pt>
                <pt idx="9">
                  <v>Meena</v>
                </pt>
                <pt idx="10">
                  <v>Ravi</v>
                </pt>
                <pt idx="11">
                  <v>Sita</v>
                </pt>
                <pt idx="12">
                  <v>Arjun</v>
                </pt>
                <pt idx="13">
                  <v>Meena</v>
                </pt>
              </strCache>
            </strRef>
          </cat>
          <val>
            <numRef>
              <f>Students!$D$2:$D$16</f>
              <numCache>
                <formatCode>General</formatCode>
                <ptCount val="1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IN"/>
              <a:t>Student Marks - Bar Chart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Students!$B$1</f>
              <strCache>
                <ptCount val="1"/>
                <pt idx="0">
                  <v>Marks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Students!$A$2:$A$15</f>
              <strCache>
                <ptCount val="14"/>
                <pt idx="0">
                  <v>Nikhitha</v>
                </pt>
                <pt idx="1">
                  <v>Rahul</v>
                </pt>
                <pt idx="2">
                  <v>Priya</v>
                </pt>
                <pt idx="3">
                  <v>Kiran</v>
                </pt>
                <pt idx="4">
                  <v>Anu</v>
                </pt>
                <pt idx="5">
                  <v>Ravi</v>
                </pt>
                <pt idx="6">
                  <v>Ravi</v>
                </pt>
                <pt idx="7">
                  <v>Sita</v>
                </pt>
                <pt idx="8">
                  <v>Arjun</v>
                </pt>
                <pt idx="9">
                  <v>Meena</v>
                </pt>
                <pt idx="10">
                  <v>Ravi</v>
                </pt>
                <pt idx="11">
                  <v>Sita</v>
                </pt>
                <pt idx="12">
                  <v>Arjun</v>
                </pt>
                <pt idx="13">
                  <v>Meena</v>
                </pt>
              </strCache>
            </strRef>
          </cat>
          <val>
            <numRef>
              <f>Students!$B$2:$B$15</f>
              <numCache>
                <formatCode>General</formatCode>
                <ptCount val="14"/>
                <pt idx="0">
                  <v>95</v>
                </pt>
                <pt idx="1">
                  <v>85</v>
                </pt>
                <pt idx="2">
                  <v>95</v>
                </pt>
                <pt idx="3">
                  <v>78</v>
                </pt>
                <pt idx="4">
                  <v>88</v>
                </pt>
                <pt idx="5">
                  <v>91</v>
                </pt>
                <pt idx="6">
                  <v>91</v>
                </pt>
                <pt idx="7">
                  <v>87</v>
                </pt>
                <pt idx="8">
                  <v>76</v>
                </pt>
                <pt idx="9">
                  <v>93</v>
                </pt>
                <pt idx="10">
                  <v>91</v>
                </pt>
                <pt idx="11">
                  <v>87</v>
                </pt>
                <pt idx="12">
                  <v>76</v>
                </pt>
                <pt idx="13">
                  <v>93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Students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Marks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IN"/>
              <a:t>Student Marks - Line Chart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Students!$B$1</f>
              <strCache>
                <ptCount val="1"/>
                <pt idx="0">
                  <v>Marks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Students!$A$2:$A$15</f>
              <strCache>
                <ptCount val="14"/>
                <pt idx="0">
                  <v>Nikhitha</v>
                </pt>
                <pt idx="1">
                  <v>Rahul</v>
                </pt>
                <pt idx="2">
                  <v>Priya</v>
                </pt>
                <pt idx="3">
                  <v>Kiran</v>
                </pt>
                <pt idx="4">
                  <v>Anu</v>
                </pt>
                <pt idx="5">
                  <v>Ravi</v>
                </pt>
                <pt idx="6">
                  <v>Ravi</v>
                </pt>
                <pt idx="7">
                  <v>Sita</v>
                </pt>
                <pt idx="8">
                  <v>Arjun</v>
                </pt>
                <pt idx="9">
                  <v>Meena</v>
                </pt>
                <pt idx="10">
                  <v>Ravi</v>
                </pt>
                <pt idx="11">
                  <v>Sita</v>
                </pt>
                <pt idx="12">
                  <v>Arjun</v>
                </pt>
                <pt idx="13">
                  <v>Meena</v>
                </pt>
              </strCache>
            </strRef>
          </cat>
          <val>
            <numRef>
              <f>Students!$B$2:$B$15</f>
              <numCache>
                <formatCode>General</formatCode>
                <ptCount val="14"/>
                <pt idx="0">
                  <v>95</v>
                </pt>
                <pt idx="1">
                  <v>85</v>
                </pt>
                <pt idx="2">
                  <v>95</v>
                </pt>
                <pt idx="3">
                  <v>78</v>
                </pt>
                <pt idx="4">
                  <v>88</v>
                </pt>
                <pt idx="5">
                  <v>91</v>
                </pt>
                <pt idx="6">
                  <v>91</v>
                </pt>
                <pt idx="7">
                  <v>87</v>
                </pt>
                <pt idx="8">
                  <v>76</v>
                </pt>
                <pt idx="9">
                  <v>93</v>
                </pt>
                <pt idx="10">
                  <v>91</v>
                </pt>
                <pt idx="11">
                  <v>87</v>
                </pt>
                <pt idx="12">
                  <v>76</v>
                </pt>
                <pt idx="13">
                  <v>93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Students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IN"/>
                  <a:t>Marks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IN"/>
              <a:t>Student Marks - Pie Chart</a:t>
            </a:r>
          </a:p>
        </rich>
      </tx>
      <overlay val="1"/>
    </title>
    <plotArea>
      <layout/>
      <pieChart>
        <varyColors val="1"/>
        <ser>
          <idx val="0"/>
          <order val="0"/>
          <tx>
            <strRef>
              <f>Students!$B$1</f>
              <strCache>
                <ptCount val="1"/>
                <pt idx="0">
                  <v>Marks</v>
                </pt>
              </strCache>
            </strRef>
          </tx>
          <spPr>
            <a:ln>
              <a:prstDash val="solid"/>
            </a:ln>
          </spPr>
          <cat>
            <strRef>
              <f>Students!$A$2:$A$15</f>
              <strCache>
                <ptCount val="14"/>
                <pt idx="0">
                  <v>Nikhitha</v>
                </pt>
                <pt idx="1">
                  <v>Rahul</v>
                </pt>
                <pt idx="2">
                  <v>Priya</v>
                </pt>
                <pt idx="3">
                  <v>Kiran</v>
                </pt>
                <pt idx="4">
                  <v>Anu</v>
                </pt>
                <pt idx="5">
                  <v>Ravi</v>
                </pt>
                <pt idx="6">
                  <v>Ravi</v>
                </pt>
                <pt idx="7">
                  <v>Sita</v>
                </pt>
                <pt idx="8">
                  <v>Arjun</v>
                </pt>
                <pt idx="9">
                  <v>Meena</v>
                </pt>
                <pt idx="10">
                  <v>Ravi</v>
                </pt>
                <pt idx="11">
                  <v>Sita</v>
                </pt>
                <pt idx="12">
                  <v>Arjun</v>
                </pt>
                <pt idx="13">
                  <v>Meena</v>
                </pt>
              </strCache>
            </strRef>
          </cat>
          <val>
            <numRef>
              <f>Students!$B$2:$B$15</f>
              <numCache>
                <formatCode>General</formatCode>
                <ptCount val="14"/>
                <pt idx="0">
                  <v>95</v>
                </pt>
                <pt idx="1">
                  <v>85</v>
                </pt>
                <pt idx="2">
                  <v>95</v>
                </pt>
                <pt idx="3">
                  <v>78</v>
                </pt>
                <pt idx="4">
                  <v>88</v>
                </pt>
                <pt idx="5">
                  <v>91</v>
                </pt>
                <pt idx="6">
                  <v>91</v>
                </pt>
                <pt idx="7">
                  <v>87</v>
                </pt>
                <pt idx="8">
                  <v>76</v>
                </pt>
                <pt idx="9">
                  <v>93</v>
                </pt>
                <pt idx="10">
                  <v>91</v>
                </pt>
                <pt idx="11">
                  <v>87</v>
                </pt>
                <pt idx="12">
                  <v>76</v>
                </pt>
                <pt idx="13">
                  <v>93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19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37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37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1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7</col>
      <colOff>0</colOff>
      <row>19</row>
      <rowOff>0</rowOff>
    </from>
    <ext cx="54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7</col>
      <colOff>0</colOff>
      <row>37</row>
      <rowOff>0</rowOff>
    </from>
    <ext cx="54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tabSelected="1" topLeftCell="B3" zoomScale="48" workbookViewId="0">
      <selection activeCell="Y14" sqref="Y14"/>
    </sheetView>
  </sheetViews>
  <sheetFormatPr baseColWidth="8" defaultRowHeight="14.25"/>
  <cols>
    <col width="15" customWidth="1" min="1" max="1"/>
    <col width="12" customWidth="1" min="2" max="6"/>
    <col width="18" customWidth="1" min="7" max="7"/>
    <col width="20" customWidth="1" min="8" max="8"/>
    <col width="15" customWidth="1" min="9" max="9"/>
  </cols>
  <sheetData>
    <row r="1" ht="25.05" customHeight="1">
      <c r="A1" s="11" t="inlineStr">
        <is>
          <t>Name</t>
        </is>
      </c>
      <c r="B1" s="11" t="inlineStr">
        <is>
          <t>Marks</t>
        </is>
      </c>
      <c r="C1" s="11" t="inlineStr">
        <is>
          <t>AGE</t>
        </is>
      </c>
      <c r="D1" s="12" t="n"/>
      <c r="E1" s="12" t="n"/>
      <c r="F1" s="11" t="inlineStr">
        <is>
          <t>Dynamic Statistics</t>
        </is>
      </c>
      <c r="G1" s="12" t="n"/>
    </row>
    <row r="2" customFormat="1" s="9">
      <c r="A2" s="8" t="inlineStr">
        <is>
          <t>Nikhitha</t>
        </is>
      </c>
      <c r="B2" s="8" t="n">
        <v>95</v>
      </c>
      <c r="C2" s="8" t="n">
        <v>22</v>
      </c>
      <c r="F2" s="10" t="inlineStr">
        <is>
          <t>Total Marks</t>
        </is>
      </c>
      <c r="G2" s="8">
        <f>SUM(B2:B15)</f>
        <v/>
      </c>
    </row>
    <row r="3" customFormat="1" s="9">
      <c r="A3" s="8" t="inlineStr">
        <is>
          <t>Rahul</t>
        </is>
      </c>
      <c r="B3" s="8" t="n">
        <v>85</v>
      </c>
      <c r="C3" s="8" t="n">
        <v>24</v>
      </c>
      <c r="F3" s="10" t="inlineStr">
        <is>
          <t>Average Marks</t>
        </is>
      </c>
      <c r="G3" s="8">
        <f>AVERAGE(B2:B15)</f>
        <v/>
      </c>
    </row>
    <row r="4" customFormat="1" s="9">
      <c r="A4" s="8" t="inlineStr">
        <is>
          <t>Priya</t>
        </is>
      </c>
      <c r="B4" s="8" t="n">
        <v>95</v>
      </c>
      <c r="C4" s="8" t="n">
        <v>27</v>
      </c>
      <c r="F4" s="10" t="inlineStr">
        <is>
          <t>Highest Marks</t>
        </is>
      </c>
      <c r="G4" s="8">
        <f>MAX(B2:B15)</f>
        <v/>
      </c>
    </row>
    <row r="5" customFormat="1" s="9">
      <c r="A5" s="8" t="inlineStr">
        <is>
          <t>Kiran</t>
        </is>
      </c>
      <c r="B5" s="8" t="n">
        <v>78</v>
      </c>
      <c r="C5" s="8" t="n">
        <v>21</v>
      </c>
      <c r="F5" s="9" t="inlineStr">
        <is>
          <t>Lowest Marks</t>
        </is>
      </c>
      <c r="G5" s="9">
        <f>MIN(B2:B15)</f>
        <v/>
      </c>
    </row>
    <row r="6" customFormat="1" s="9">
      <c r="A6" s="8" t="inlineStr">
        <is>
          <t>Anu</t>
        </is>
      </c>
      <c r="B6" s="8" t="n">
        <v>88</v>
      </c>
      <c r="C6" s="8" t="n">
        <v>19</v>
      </c>
    </row>
    <row r="7" customFormat="1" s="9">
      <c r="A7" s="8" t="inlineStr">
        <is>
          <t>Ravi</t>
        </is>
      </c>
      <c r="B7" s="8" t="n">
        <v>91</v>
      </c>
      <c r="C7" s="8" t="n">
        <v>23</v>
      </c>
    </row>
    <row r="8" customFormat="1" s="9">
      <c r="A8" s="8" t="inlineStr">
        <is>
          <t>Ravi</t>
        </is>
      </c>
      <c r="B8" s="8" t="n">
        <v>91</v>
      </c>
      <c r="C8" s="8" t="n">
        <v>23</v>
      </c>
    </row>
    <row r="9" customFormat="1" s="9">
      <c r="A9" s="8" t="inlineStr">
        <is>
          <t>Sita</t>
        </is>
      </c>
      <c r="B9" s="8" t="n">
        <v>87</v>
      </c>
      <c r="C9" s="8" t="n">
        <v>21</v>
      </c>
    </row>
    <row r="10" customFormat="1" s="9">
      <c r="A10" s="8" t="inlineStr">
        <is>
          <t>Arjun</t>
        </is>
      </c>
      <c r="B10" s="8" t="n">
        <v>76</v>
      </c>
      <c r="C10" s="8" t="n">
        <v>22</v>
      </c>
    </row>
    <row r="11" customFormat="1" s="9">
      <c r="A11" s="8" t="inlineStr">
        <is>
          <t>Meena</t>
        </is>
      </c>
      <c r="B11" s="8" t="n">
        <v>93</v>
      </c>
      <c r="C11" s="8" t="n">
        <v>20</v>
      </c>
    </row>
    <row r="12" customFormat="1" s="9">
      <c r="A12" s="8" t="inlineStr">
        <is>
          <t>Ravi</t>
        </is>
      </c>
      <c r="B12" s="8" t="n">
        <v>91</v>
      </c>
      <c r="C12" s="8" t="n">
        <v>23</v>
      </c>
    </row>
    <row r="13" customFormat="1" s="9">
      <c r="A13" s="8" t="inlineStr">
        <is>
          <t>Sita</t>
        </is>
      </c>
      <c r="B13" s="8" t="n">
        <v>87</v>
      </c>
      <c r="C13" s="8" t="n">
        <v>21</v>
      </c>
    </row>
    <row r="14" customFormat="1" s="9">
      <c r="A14" s="8" t="inlineStr">
        <is>
          <t>Arjun</t>
        </is>
      </c>
      <c r="B14" s="8" t="n">
        <v>76</v>
      </c>
      <c r="C14" s="8" t="n">
        <v>22</v>
      </c>
    </row>
    <row r="15" customFormat="1" s="9">
      <c r="A15" s="8" t="inlineStr">
        <is>
          <t>Meena</t>
        </is>
      </c>
      <c r="B15" s="8" t="n">
        <v>93</v>
      </c>
      <c r="C15" s="8" t="n">
        <v>20</v>
      </c>
    </row>
    <row r="16" customFormat="1" s="9"/>
    <row r="17" customFormat="1" s="9"/>
    <row r="18" customFormat="1" s="9"/>
    <row r="19" customFormat="1" s="9"/>
    <row r="20" customFormat="1" s="9"/>
    <row r="21" customFormat="1" s="9"/>
    <row r="22" customFormat="1" s="9"/>
    <row r="23" customFormat="1" s="9"/>
    <row r="24" customFormat="1" s="9"/>
    <row r="25" customFormat="1" s="9"/>
    <row r="26" customFormat="1" s="9"/>
    <row r="27" customFormat="1" s="9"/>
    <row r="28" customFormat="1" s="9"/>
    <row r="29" customFormat="1" s="9"/>
    <row r="30" customFormat="1" s="9"/>
    <row r="31" customFormat="1" s="9"/>
    <row r="32" customFormat="1" s="9"/>
    <row r="33" customFormat="1" s="9"/>
    <row r="34" customFormat="1" s="9"/>
    <row r="35" customFormat="1" s="9"/>
    <row r="36" customFormat="1" s="9"/>
    <row r="37" customFormat="1" s="9"/>
    <row r="38" customFormat="1" s="9"/>
    <row r="39" customFormat="1" s="9"/>
    <row r="40" customFormat="1" s="9"/>
    <row r="41" customFormat="1" s="9"/>
    <row r="42" customFormat="1" s="9"/>
    <row r="43" customFormat="1" s="9"/>
    <row r="44" customFormat="1" s="9"/>
    <row r="45" customFormat="1" s="9"/>
    <row r="46" customFormat="1" s="9"/>
    <row r="47" customFormat="1" s="9"/>
    <row r="48" customFormat="1" s="9"/>
    <row r="49" customFormat="1" s="9"/>
    <row r="50" customFormat="1" s="9"/>
    <row r="51" customFormat="1" s="9"/>
    <row r="52" customFormat="1" s="9"/>
    <row r="53" customFormat="1" s="9"/>
    <row r="54" customFormat="1" s="9"/>
    <row r="55" customFormat="1" s="9"/>
    <row r="56" customFormat="1" s="9"/>
    <row r="57" customFormat="1" s="9"/>
    <row r="58" customFormat="1" s="9"/>
    <row r="59" customFormat="1" s="9"/>
  </sheetData>
  <autoFilter ref="A1:I16"/>
  <conditionalFormatting sqref="B2:B15">
    <cfRule type="cellIs" priority="4" operator="greaterThan" dxfId="1">
      <formula>90</formula>
    </cfRule>
    <cfRule type="cellIs" priority="5" operator="lessThan" dxfId="0">
      <formula>80</formula>
    </cfRule>
    <cfRule type="dataBar" priority="6">
      <dataBar>
        <cfvo type="min"/>
        <cfvo type="max"/>
        <color rgb="FF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4.25"/>
  <cols>
    <col width="22" customWidth="1" min="1" max="1"/>
    <col width="15" customWidth="1" min="2" max="2"/>
  </cols>
  <sheetData>
    <row r="1" ht="30" customHeight="1">
      <c r="A1" s="6" t="inlineStr">
        <is>
          <t>Student Summary</t>
        </is>
      </c>
      <c r="B1" s="7" t="n"/>
    </row>
    <row r="2" ht="22.05" customHeight="1">
      <c r="A2" s="2" t="inlineStr">
        <is>
          <t>Total Students</t>
        </is>
      </c>
      <c r="B2" s="1" t="n">
        <v>14</v>
      </c>
    </row>
    <row r="3" ht="22.05" customHeight="1">
      <c r="A3" s="2" t="inlineStr">
        <is>
          <t>Average Marks</t>
        </is>
      </c>
      <c r="B3" s="3" t="n">
        <v>87.57142857142857</v>
      </c>
    </row>
    <row r="4" ht="22.05" customHeight="1">
      <c r="A4" s="2" t="inlineStr">
        <is>
          <t>Highest Marks</t>
        </is>
      </c>
      <c r="B4" s="1" t="n">
        <v>95</v>
      </c>
    </row>
    <row r="5" ht="22.05" customHeight="1">
      <c r="A5" s="2" t="inlineStr">
        <is>
          <t>Lowest Marks</t>
        </is>
      </c>
      <c r="B5" s="1" t="n">
        <v>76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2026-08-28T12:50:50Z</dcterms:created>
  <dcterms:modified xsi:type="dcterms:W3CDTF">2026-09-15T11:58:09Z</dcterms:modified>
  <cp:lastModifiedBy>Nikhitha Althi</cp:lastModifiedBy>
</cp:coreProperties>
</file>